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0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SI\Desktop\"/>
    </mc:Choice>
  </mc:AlternateContent>
  <xr:revisionPtr revIDLastSave="0" documentId="112759C10F4C9C3E0ADFE8C4F34627784BE99E06" xr6:coauthVersionLast="16" xr6:coauthVersionMax="16" xr10:uidLastSave="{00000000-0000-0000-0000-000000000000}"/>
  <bookViews>
    <workbookView xWindow="120" yWindow="120" windowWidth="19035" windowHeight="8445" xr2:uid="{00000000-000D-0000-FFFF-FFFF00000000}"/>
  </bookViews>
  <sheets>
    <sheet name="Risco" sheetId="1" r:id="rId1"/>
    <sheet name="Sumário" sheetId="2" r:id="rId2"/>
    <sheet name="Gráficos" sheetId="3" r:id="rId3"/>
  </sheets>
  <definedNames>
    <definedName name="_xlnm.Print_Area" localSheetId="0">Risco!$B:$J</definedName>
  </definedNames>
  <calcPr calcId="171026"/>
</workbook>
</file>

<file path=xl/calcChain.xml><?xml version="1.0" encoding="utf-8"?>
<calcChain xmlns="http://schemas.openxmlformats.org/spreadsheetml/2006/main">
  <c r="B16" i="2" l="1"/>
  <c r="B15" i="2"/>
  <c r="B14" i="2"/>
  <c r="B5" i="2"/>
  <c r="B4" i="2"/>
  <c r="B9" i="2"/>
  <c r="B10" i="2"/>
  <c r="B11" i="2"/>
  <c r="B3" i="2"/>
  <c r="B6" i="2"/>
  <c r="B2" i="2"/>
</calcChain>
</file>

<file path=xl/sharedStrings.xml><?xml version="1.0" encoding="utf-8"?>
<sst xmlns="http://schemas.openxmlformats.org/spreadsheetml/2006/main" count="41" uniqueCount="22">
  <si>
    <t>REGISTRO DE RISCOS</t>
  </si>
  <si>
    <t>ID</t>
  </si>
  <si>
    <t>Status</t>
  </si>
  <si>
    <t>Probabilidade</t>
  </si>
  <si>
    <t>Impacto</t>
  </si>
  <si>
    <t>Data Abertura</t>
  </si>
  <si>
    <t>Descrição</t>
  </si>
  <si>
    <t>Estratégia</t>
  </si>
  <si>
    <t>Gatilho</t>
  </si>
  <si>
    <t>Responsavel</t>
  </si>
  <si>
    <t>Aberto</t>
  </si>
  <si>
    <t>Baixa</t>
  </si>
  <si>
    <t>Fechado</t>
  </si>
  <si>
    <t>Média</t>
  </si>
  <si>
    <t>Transferido</t>
  </si>
  <si>
    <t>Alta</t>
  </si>
  <si>
    <t>Mitigado</t>
  </si>
  <si>
    <t>Aceito</t>
  </si>
  <si>
    <t>Chamados por Status</t>
  </si>
  <si>
    <t>Total</t>
  </si>
  <si>
    <t>Chamados por Probabilidade</t>
  </si>
  <si>
    <t>Chamados por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</si>
</sst>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2" borderId="0" xfId="0" applyFill="1" applyBorder="1"/>
    <xf numFmtId="0" fontId="0" fillId="3" borderId="1" xfId="0" applyFont="1" applyFill="1" applyBorder="1"/>
    <xf numFmtId="0" fontId="0" fillId="4" borderId="1" xfId="0" applyFont="1" applyFill="1" applyBorder="1"/>
    <xf numFmtId="0" fontId="0" fillId="3" borderId="2" xfId="0" applyFont="1" applyFill="1" applyBorder="1"/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7"/>
    </xf>
    <xf numFmtId="0" fontId="1" fillId="0" borderId="0" xfId="0" applyFont="1" applyAlignment="1">
      <alignment horizontal="left" vertical="center" indent="7"/>
    </xf>
  </cellXfs>
  <cellStyles count="1">
    <cellStyle name="Normal" xfId="0" builtinId="0"/>
  </cellStyles>
  <dxfs count="25">
    <dxf>
      <numFmt numFmtId="0" formatCode="General"/>
    </dxf>
    <dxf>
      <alignment horizontal="center" vertical="bottom" textRotation="0" wrapText="0" relativeIndent="0" justifyLastLine="0" shrinkToFit="0" readingOrder="0"/>
    </dxf>
    <dxf>
      <numFmt numFmtId="0" formatCode="General"/>
    </dxf>
    <dxf>
      <alignment horizontal="center" vertical="bottom" textRotation="0" wrapText="0" relativeIndent="0" justifyLastLine="0" shrinkToFit="0" readingOrder="0"/>
    </dxf>
    <dxf>
      <numFmt numFmtId="0" formatCode="General"/>
    </dxf>
    <dxf>
      <alignment horizontal="center" vertical="bottom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numFmt numFmtId="164" formatCode="dd/mm/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3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</font>
      <fill>
        <patternFill patternType="solid"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F2D2D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Chamados por Status</a:t>
            </a:r>
          </a:p>
        </c:rich>
      </c:tx>
      <c:overlay val="0"/>
    </c:title>
    <c:autoTitleDeleted val="0"/>
    <c:view3D>
      <c:rotX val="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Sumário!$B$1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2D2D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FE31-410F-A886-C8EFC24850C2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FE31-410F-A886-C8EFC24850C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66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5-FE31-410F-A886-C8EFC24850C2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Sumário!$A$2:$A$6</c:f>
              <c:strCache>
                <c:ptCount val="5"/>
                <c:pt idx="0">
                  <c:v>Aberto</c:v>
                </c:pt>
                <c:pt idx="1">
                  <c:v>Fechado</c:v>
                </c:pt>
                <c:pt idx="2">
                  <c:v>Transferido</c:v>
                </c:pt>
                <c:pt idx="3">
                  <c:v>Mitigado</c:v>
                </c:pt>
                <c:pt idx="4">
                  <c:v>Aceito</c:v>
                </c:pt>
              </c:strCache>
            </c:strRef>
          </c:cat>
          <c:val>
            <c:numRef>
              <c:f>Sumário!$B$2:$B$6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31-410F-A886-C8EFC2485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cylinder"/>
        <c:axId val="226732064"/>
        <c:axId val="234628784"/>
        <c:axId val="0"/>
      </c:bar3DChart>
      <c:catAx>
        <c:axId val="226732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34628784"/>
        <c:crosses val="autoZero"/>
        <c:auto val="1"/>
        <c:lblAlgn val="ctr"/>
        <c:lblOffset val="100"/>
        <c:noMultiLvlLbl val="0"/>
      </c:catAx>
      <c:valAx>
        <c:axId val="2346287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732064"/>
        <c:crosses val="autoZero"/>
        <c:crossBetween val="between"/>
      </c:valAx>
    </c:plotArea>
    <c:plotVisOnly val="1"/>
    <c:dispBlanksAs val="gap"/>
    <c:showDLblsOverMax val="0"/>
  </c:chart>
  <c:spPr>
    <a:scene3d>
      <a:camera prst="orthographicFront"/>
      <a:lightRig rig="threePt" dir="t"/>
    </a:scene3d>
    <a:sp3d prstMaterial="matte"/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Chamados por Severidade</a:t>
            </a:r>
          </a:p>
        </c:rich>
      </c:tx>
      <c:overlay val="0"/>
    </c:title>
    <c:autoTitleDeleted val="0"/>
    <c:view3D>
      <c:rotX val="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Sumário!$B$8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2D2D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7DA1-4C3C-90DF-807542FFB9DC}"/>
              </c:ext>
            </c:extLst>
          </c:dPt>
          <c:dPt>
            <c:idx val="1"/>
            <c:invertIfNegative val="0"/>
            <c:bubble3D val="0"/>
            <c:spPr>
              <a:solidFill>
                <a:srgbClr val="FFFF66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3-7DA1-4C3C-90DF-807542FFB9DC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Sumário!$A$9:$A$11</c:f>
              <c:strCache>
                <c:ptCount val="3"/>
                <c:pt idx="0">
                  <c:v>Baixa</c:v>
                </c:pt>
                <c:pt idx="1">
                  <c:v>Média</c:v>
                </c:pt>
                <c:pt idx="2">
                  <c:v>Alta</c:v>
                </c:pt>
              </c:strCache>
            </c:strRef>
          </c:cat>
          <c:val>
            <c:numRef>
              <c:f>Sumário!$B$9:$B$11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A1-4C3C-90DF-807542FFB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cylinder"/>
        <c:axId val="235171064"/>
        <c:axId val="105886120"/>
        <c:axId val="0"/>
      </c:bar3DChart>
      <c:catAx>
        <c:axId val="235171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05886120"/>
        <c:crosses val="autoZero"/>
        <c:auto val="1"/>
        <c:lblAlgn val="ctr"/>
        <c:lblOffset val="100"/>
        <c:noMultiLvlLbl val="0"/>
      </c:catAx>
      <c:valAx>
        <c:axId val="105886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5171064"/>
        <c:crosses val="autoZero"/>
        <c:crossBetween val="between"/>
      </c:valAx>
    </c:plotArea>
    <c:plotVisOnly val="1"/>
    <c:dispBlanksAs val="gap"/>
    <c:showDLblsOverMax val="0"/>
  </c:chart>
  <c:spPr>
    <a:scene3d>
      <a:camera prst="orthographicFront"/>
      <a:lightRig rig="threePt" dir="t"/>
    </a:scene3d>
    <a:sp3d prstMaterial="matte"/>
  </c:sp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Chamados por Tipo</a:t>
            </a:r>
          </a:p>
        </c:rich>
      </c:tx>
      <c:overlay val="0"/>
    </c:title>
    <c:autoTitleDeleted val="0"/>
    <c:view3D>
      <c:rotX val="0"/>
      <c:rotY val="0"/>
      <c:depthPercent val="10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Sumário!$B$13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  <a:bevelB/>
            </a:sp3d>
          </c:spPr>
          <c:invertIfNegative val="0"/>
          <c:dPt>
            <c:idx val="0"/>
            <c:invertIfNegative val="0"/>
            <c:bubble3D val="0"/>
            <c:spPr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  <a:bevelB/>
              </a:sp3d>
            </c:spPr>
            <c:extLst>
              <c:ext xmlns:c16="http://schemas.microsoft.com/office/drawing/2014/chart" uri="{C3380CC4-5D6E-409C-BE32-E72D297353CC}">
                <c16:uniqueId val="{00000001-C146-4997-95ED-E2BF82B8A83F}"/>
              </c:ext>
            </c:extLst>
          </c:dPt>
          <c:dLbls>
            <c:numFmt formatCode="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Sumário!$A$14:$A$17</c:f>
              <c:strCache>
                <c:ptCount val="3"/>
                <c:pt idx="0">
                  <c:v>Baixa</c:v>
                </c:pt>
                <c:pt idx="1">
                  <c:v>Média</c:v>
                </c:pt>
                <c:pt idx="2">
                  <c:v>Alta</c:v>
                </c:pt>
              </c:strCache>
            </c:strRef>
          </c:cat>
          <c:val>
            <c:numRef>
              <c:f>Sumário!$B$14:$B$17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46-4997-95ED-E2BF82B8A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cylinder"/>
        <c:axId val="219976168"/>
        <c:axId val="219976560"/>
        <c:axId val="0"/>
      </c:bar3DChart>
      <c:catAx>
        <c:axId val="2199761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9976560"/>
        <c:crosses val="autoZero"/>
        <c:auto val="1"/>
        <c:lblAlgn val="ctr"/>
        <c:lblOffset val="100"/>
        <c:noMultiLvlLbl val="0"/>
      </c:catAx>
      <c:valAx>
        <c:axId val="21997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9976168"/>
        <c:crosses val="autoZero"/>
        <c:crossBetween val="between"/>
      </c:valAx>
    </c:plotArea>
    <c:plotVisOnly val="1"/>
    <c:dispBlanksAs val="gap"/>
    <c:showDLblsOverMax val="0"/>
  </c:chart>
  <c:spPr>
    <a:scene3d>
      <a:camera prst="orthographicFront"/>
      <a:lightRig rig="threePt" dir="t"/>
    </a:scene3d>
    <a:sp3d prstMaterial="matte"/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0</xdr:row>
      <xdr:rowOff>0</xdr:rowOff>
    </xdr:from>
    <xdr:to>
      <xdr:col>10</xdr:col>
      <xdr:colOff>85725</xdr:colOff>
      <xdr:row>0</xdr:row>
      <xdr:rowOff>603647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0" y="0"/>
          <a:ext cx="1609725" cy="6036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104774</xdr:rowOff>
    </xdr:from>
    <xdr:to>
      <xdr:col>6</xdr:col>
      <xdr:colOff>333375</xdr:colOff>
      <xdr:row>13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0</xdr:row>
      <xdr:rowOff>95251</xdr:rowOff>
    </xdr:from>
    <xdr:to>
      <xdr:col>14</xdr:col>
      <xdr:colOff>85725</xdr:colOff>
      <xdr:row>13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15</xdr:row>
      <xdr:rowOff>0</xdr:rowOff>
    </xdr:from>
    <xdr:to>
      <xdr:col>6</xdr:col>
      <xdr:colOff>333375</xdr:colOff>
      <xdr:row>28</xdr:row>
      <xdr:rowOff>38101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J28" totalsRowShown="0" headerRowDxfId="17" dataDxfId="16" headerRowBorderDxfId="15">
  <tableColumns count="9">
    <tableColumn id="1" xr3:uid="{00000000-0010-0000-0000-000001000000}" name="ID" dataDxfId="14"/>
    <tableColumn id="2" xr3:uid="{00000000-0010-0000-0000-000002000000}" name="Status" dataDxfId="13"/>
    <tableColumn id="6" xr3:uid="{00000000-0010-0000-0000-000006000000}" name="Probabilidade" dataDxfId="12"/>
    <tableColumn id="12" xr3:uid="{00000000-0010-0000-0000-00000C000000}" name="Impacto" dataDxfId="11"/>
    <tableColumn id="3" xr3:uid="{00000000-0010-0000-0000-000003000000}" name="Data Abertura" dataDxfId="10"/>
    <tableColumn id="7" xr3:uid="{00000000-0010-0000-0000-000007000000}" name="Descrição" dataDxfId="9"/>
    <tableColumn id="8" xr3:uid="{00000000-0010-0000-0000-000008000000}" name="Estratégia" dataDxfId="8"/>
    <tableColumn id="10" xr3:uid="{00000000-0010-0000-0000-00000A000000}" name="Gatilho" dataDxfId="7"/>
    <tableColumn id="11" xr3:uid="{00000000-0010-0000-0000-00000B000000}" name="Responsavel" dataDxf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6" totalsRowShown="0" headerRowDxfId="5">
  <tableColumns count="2">
    <tableColumn id="1" xr3:uid="{00000000-0010-0000-0100-000001000000}" name="Chamados por Status"/>
    <tableColumn id="2" xr3:uid="{00000000-0010-0000-0100-000002000000}" name="Total" dataDxfId="4">
      <calculatedColumnFormula>COUNTIF(Risco!C:C,"Em espera")</calculatedColumnFormula>
    </tableColumn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A8:B11" totalsRowShown="0" headerRowDxfId="3">
  <tableColumns count="2">
    <tableColumn id="1" xr3:uid="{00000000-0010-0000-0200-000001000000}" name="Chamados por Probabilidade"/>
    <tableColumn id="2" xr3:uid="{00000000-0010-0000-0200-000002000000}" name="Total" dataDxfId="2">
      <calculatedColumnFormula>COUNTIF(Risco!D:D,"Baixa")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45" displayName="Table245" ref="A13:B16" totalsRowShown="0" headerRowDxfId="1">
  <tableColumns count="2">
    <tableColumn id="1" xr3:uid="{00000000-0010-0000-0300-000001000000}" name="Chamados por Impacto"/>
    <tableColumn id="2" xr3:uid="{00000000-0010-0000-0300-000002000000}" name="Total" dataDxfId="0">
      <calculatedColumnFormula>COUNTIF(Risco!D:D,"Baixa")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"/>
  <sheetViews>
    <sheetView tabSelected="1" zoomScaleNormal="100" workbookViewId="0" xr3:uid="{AEA406A1-0E4B-5B11-9CD5-51D6E497D94C}">
      <selection activeCell="I3" sqref="I3"/>
    </sheetView>
  </sheetViews>
  <sheetFormatPr defaultRowHeight="12"/>
  <cols>
    <col min="1" max="1" width="9.140625" style="1"/>
    <col min="2" max="2" width="3.42578125" style="1" customWidth="1"/>
    <col min="3" max="3" width="9.85546875" style="1" customWidth="1"/>
    <col min="4" max="4" width="15.7109375" style="1" customWidth="1"/>
    <col min="5" max="5" width="10.5703125" style="1" customWidth="1"/>
    <col min="6" max="6" width="15.42578125" style="1" customWidth="1"/>
    <col min="7" max="7" width="42.5703125" style="1" customWidth="1"/>
    <col min="8" max="8" width="35.42578125" style="1" customWidth="1"/>
    <col min="9" max="9" width="13.5703125" style="1" customWidth="1"/>
    <col min="10" max="10" width="12" style="1" customWidth="1"/>
    <col min="11" max="11" width="14.28515625" style="1" customWidth="1"/>
    <col min="12" max="34" width="9.140625" style="1"/>
    <col min="35" max="35" width="8.85546875" style="1" bestFit="1" customWidth="1"/>
    <col min="36" max="36" width="11" style="1" bestFit="1" customWidth="1"/>
    <col min="37" max="16384" width="9.140625" style="1"/>
  </cols>
  <sheetData>
    <row r="1" spans="1:36" s="15" customFormat="1" ht="48.75" customHeight="1">
      <c r="A1" s="14" t="s">
        <v>0</v>
      </c>
    </row>
    <row r="2" spans="1:36" ht="41.25" customHeight="1"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8</v>
      </c>
      <c r="J2" s="13" t="s">
        <v>9</v>
      </c>
      <c r="AH2" s="2" t="s">
        <v>2</v>
      </c>
      <c r="AI2" s="2" t="s">
        <v>4</v>
      </c>
      <c r="AJ2" s="1" t="s">
        <v>3</v>
      </c>
    </row>
    <row r="3" spans="1:36" ht="15">
      <c r="B3" s="9"/>
      <c r="C3" s="9"/>
      <c r="D3" s="9"/>
      <c r="E3" s="9"/>
      <c r="F3" s="10"/>
      <c r="G3" s="11"/>
      <c r="H3" s="11"/>
      <c r="I3" s="12"/>
      <c r="J3" s="12"/>
      <c r="AH3" s="6" t="s">
        <v>10</v>
      </c>
      <c r="AI3" s="1" t="s">
        <v>11</v>
      </c>
      <c r="AJ3" s="1" t="s">
        <v>11</v>
      </c>
    </row>
    <row r="4" spans="1:36" ht="15">
      <c r="B4" s="9"/>
      <c r="C4" s="9"/>
      <c r="D4" s="9"/>
      <c r="E4" s="9"/>
      <c r="F4" s="10"/>
      <c r="G4" s="11"/>
      <c r="H4" s="11"/>
      <c r="I4" s="12"/>
      <c r="J4" s="12"/>
      <c r="AH4" s="7" t="s">
        <v>12</v>
      </c>
      <c r="AI4" s="1" t="s">
        <v>13</v>
      </c>
      <c r="AJ4" s="1" t="s">
        <v>13</v>
      </c>
    </row>
    <row r="5" spans="1:36" ht="15">
      <c r="B5" s="9"/>
      <c r="C5" s="9"/>
      <c r="D5" s="9"/>
      <c r="E5" s="9"/>
      <c r="F5" s="10"/>
      <c r="G5" s="11"/>
      <c r="H5" s="11"/>
      <c r="I5" s="12"/>
      <c r="J5" s="12"/>
      <c r="AH5" s="6" t="s">
        <v>14</v>
      </c>
      <c r="AI5" s="1" t="s">
        <v>15</v>
      </c>
      <c r="AJ5" s="1" t="s">
        <v>15</v>
      </c>
    </row>
    <row r="6" spans="1:36" ht="15">
      <c r="B6" s="9"/>
      <c r="C6" s="9"/>
      <c r="D6" s="9"/>
      <c r="E6" s="9"/>
      <c r="F6" s="10"/>
      <c r="G6" s="11"/>
      <c r="H6" s="11"/>
      <c r="I6" s="12"/>
      <c r="J6" s="12"/>
      <c r="AH6" s="7" t="s">
        <v>16</v>
      </c>
    </row>
    <row r="7" spans="1:36" ht="15">
      <c r="B7" s="9"/>
      <c r="C7" s="9"/>
      <c r="D7" s="9"/>
      <c r="E7" s="9"/>
      <c r="F7" s="10"/>
      <c r="G7" s="11"/>
      <c r="H7" s="11"/>
      <c r="I7" s="12"/>
      <c r="J7" s="12"/>
      <c r="AH7" s="8" t="s">
        <v>17</v>
      </c>
    </row>
    <row r="8" spans="1:36">
      <c r="B8" s="9"/>
      <c r="C8" s="9"/>
      <c r="D8" s="9"/>
      <c r="E8" s="9"/>
      <c r="F8" s="10"/>
      <c r="G8" s="11"/>
      <c r="H8" s="11"/>
      <c r="I8" s="12"/>
      <c r="J8" s="12"/>
    </row>
    <row r="9" spans="1:36">
      <c r="B9" s="9"/>
      <c r="C9" s="9"/>
      <c r="D9" s="9"/>
      <c r="E9" s="9"/>
      <c r="F9" s="10"/>
      <c r="G9" s="11"/>
      <c r="H9" s="11"/>
      <c r="I9" s="12"/>
      <c r="J9" s="12"/>
    </row>
    <row r="10" spans="1:36">
      <c r="B10" s="9"/>
      <c r="C10" s="9"/>
      <c r="D10" s="9"/>
      <c r="E10" s="9"/>
      <c r="F10" s="10"/>
      <c r="G10" s="11"/>
      <c r="H10" s="11"/>
      <c r="I10" s="12"/>
      <c r="J10" s="12"/>
    </row>
    <row r="11" spans="1:36">
      <c r="B11" s="9"/>
      <c r="C11" s="9"/>
      <c r="D11" s="9"/>
      <c r="E11" s="9"/>
      <c r="F11" s="10"/>
      <c r="G11" s="11"/>
      <c r="H11" s="11"/>
      <c r="I11" s="12"/>
      <c r="J11" s="12"/>
    </row>
    <row r="12" spans="1:36">
      <c r="B12" s="9"/>
      <c r="C12" s="9"/>
      <c r="D12" s="9"/>
      <c r="E12" s="9"/>
      <c r="F12" s="10"/>
      <c r="G12" s="11"/>
      <c r="H12" s="11"/>
      <c r="I12" s="12"/>
      <c r="J12" s="12"/>
    </row>
    <row r="13" spans="1:36">
      <c r="B13" s="9"/>
      <c r="C13" s="9"/>
      <c r="D13" s="9"/>
      <c r="E13" s="9"/>
      <c r="F13" s="10"/>
      <c r="G13" s="11"/>
      <c r="H13" s="11"/>
      <c r="I13" s="12"/>
      <c r="J13" s="12"/>
    </row>
    <row r="14" spans="1:36">
      <c r="B14" s="9"/>
      <c r="C14" s="9"/>
      <c r="D14" s="9"/>
      <c r="E14" s="9"/>
      <c r="F14" s="10"/>
      <c r="G14" s="11"/>
      <c r="H14" s="11"/>
      <c r="I14" s="12"/>
      <c r="J14" s="12"/>
    </row>
    <row r="15" spans="1:36">
      <c r="B15" s="9"/>
      <c r="C15" s="9"/>
      <c r="D15" s="9"/>
      <c r="E15" s="9"/>
      <c r="F15" s="10"/>
      <c r="G15" s="11"/>
      <c r="H15" s="11"/>
      <c r="I15" s="12"/>
      <c r="J15" s="12"/>
    </row>
    <row r="16" spans="1:36">
      <c r="B16" s="9"/>
      <c r="C16" s="9"/>
      <c r="D16" s="9"/>
      <c r="E16" s="9"/>
      <c r="F16" s="10"/>
      <c r="G16" s="11"/>
      <c r="H16" s="11"/>
      <c r="I16" s="12"/>
      <c r="J16" s="12"/>
    </row>
    <row r="17" spans="2:10">
      <c r="B17" s="9"/>
      <c r="C17" s="9"/>
      <c r="D17" s="9"/>
      <c r="E17" s="9"/>
      <c r="F17" s="10"/>
      <c r="G17" s="11"/>
      <c r="H17" s="11"/>
      <c r="I17" s="12"/>
      <c r="J17" s="12"/>
    </row>
    <row r="18" spans="2:10">
      <c r="B18" s="9"/>
      <c r="C18" s="9"/>
      <c r="D18" s="9"/>
      <c r="E18" s="9"/>
      <c r="F18" s="10"/>
      <c r="G18" s="11"/>
      <c r="H18" s="11"/>
      <c r="I18" s="12"/>
      <c r="J18" s="12"/>
    </row>
    <row r="19" spans="2:10">
      <c r="B19" s="9"/>
      <c r="C19" s="9"/>
      <c r="D19" s="9"/>
      <c r="E19" s="9"/>
      <c r="F19" s="10"/>
      <c r="G19" s="11"/>
      <c r="H19" s="11"/>
      <c r="I19" s="12"/>
      <c r="J19" s="12"/>
    </row>
    <row r="20" spans="2:10">
      <c r="B20" s="9"/>
      <c r="C20" s="9"/>
      <c r="D20" s="9"/>
      <c r="E20" s="9"/>
      <c r="F20" s="10"/>
      <c r="G20" s="11"/>
      <c r="H20" s="11"/>
      <c r="I20" s="12"/>
      <c r="J20" s="12"/>
    </row>
    <row r="21" spans="2:10">
      <c r="B21" s="9"/>
      <c r="C21" s="9"/>
      <c r="D21" s="9"/>
      <c r="E21" s="9"/>
      <c r="F21" s="10"/>
      <c r="G21" s="11"/>
      <c r="H21" s="11"/>
      <c r="I21" s="12"/>
      <c r="J21" s="12"/>
    </row>
    <row r="22" spans="2:10">
      <c r="B22" s="9"/>
      <c r="C22" s="9"/>
      <c r="D22" s="9"/>
      <c r="E22" s="9"/>
      <c r="F22" s="10"/>
      <c r="G22" s="11"/>
      <c r="H22" s="11"/>
      <c r="I22" s="12"/>
      <c r="J22" s="12"/>
    </row>
    <row r="23" spans="2:10">
      <c r="B23" s="9"/>
      <c r="C23" s="9"/>
      <c r="D23" s="9"/>
      <c r="E23" s="9"/>
      <c r="F23" s="10"/>
      <c r="G23" s="11"/>
      <c r="H23" s="11"/>
      <c r="I23" s="12"/>
      <c r="J23" s="12"/>
    </row>
    <row r="24" spans="2:10">
      <c r="B24" s="9"/>
      <c r="C24" s="9"/>
      <c r="D24" s="9"/>
      <c r="E24" s="9"/>
      <c r="F24" s="10"/>
      <c r="G24" s="11"/>
      <c r="H24" s="11"/>
      <c r="I24" s="12"/>
      <c r="J24" s="12"/>
    </row>
    <row r="25" spans="2:10">
      <c r="B25" s="9"/>
      <c r="C25" s="9"/>
      <c r="D25" s="9"/>
      <c r="E25" s="9"/>
      <c r="F25" s="10"/>
      <c r="G25" s="11"/>
      <c r="H25" s="11"/>
      <c r="I25" s="12"/>
      <c r="J25" s="12"/>
    </row>
    <row r="26" spans="2:10">
      <c r="B26" s="9"/>
      <c r="C26" s="9"/>
      <c r="D26" s="9"/>
      <c r="E26" s="9"/>
      <c r="F26" s="10"/>
      <c r="G26" s="11"/>
      <c r="H26" s="11"/>
      <c r="I26" s="12"/>
      <c r="J26" s="12"/>
    </row>
    <row r="27" spans="2:10">
      <c r="B27" s="9"/>
      <c r="C27" s="9"/>
      <c r="D27" s="9"/>
      <c r="E27" s="9"/>
      <c r="F27" s="10"/>
      <c r="G27" s="11"/>
      <c r="H27" s="11"/>
      <c r="I27" s="12"/>
      <c r="J27" s="12"/>
    </row>
    <row r="28" spans="2:10">
      <c r="B28" s="9"/>
      <c r="C28" s="9"/>
      <c r="D28" s="9"/>
      <c r="E28" s="9"/>
      <c r="F28" s="10"/>
      <c r="G28" s="11"/>
      <c r="H28" s="11"/>
      <c r="I28" s="12"/>
      <c r="J28" s="12"/>
    </row>
  </sheetData>
  <mergeCells count="1">
    <mergeCell ref="A1:XFD1"/>
  </mergeCells>
  <conditionalFormatting sqref="C3:C28">
    <cfRule type="containsText" dxfId="24" priority="4" operator="containsText" text="Em espera">
      <formula>NOT(ISERROR(SEARCH("Em espera",C3)))</formula>
    </cfRule>
    <cfRule type="containsText" dxfId="23" priority="5" operator="containsText" text="Fechado">
      <formula>NOT(ISERROR(SEARCH("Fechado",C3)))</formula>
    </cfRule>
  </conditionalFormatting>
  <conditionalFormatting sqref="D3:E28">
    <cfRule type="containsText" dxfId="22" priority="1" operator="containsText" text="Alta">
      <formula>NOT(ISERROR(SEARCH("Alta",D3)))</formula>
    </cfRule>
    <cfRule type="containsText" dxfId="21" priority="2" operator="containsText" text="Média">
      <formula>NOT(ISERROR(SEARCH("Média",D3)))</formula>
    </cfRule>
    <cfRule type="containsText" dxfId="20" priority="3" operator="containsText" text="Baixa">
      <formula>NOT(ISERROR(SEARCH("Baixa",D3)))</formula>
    </cfRule>
  </conditionalFormatting>
  <conditionalFormatting sqref="C3:C28">
    <cfRule type="containsText" dxfId="19" priority="16" operator="containsText" text="Aberto">
      <formula>NOT(ISERROR(SEARCH("Aberto",C3)))</formula>
    </cfRule>
    <cfRule type="expression" dxfId="18" priority="17">
      <formula>$AH$3</formula>
    </cfRule>
    <cfRule type="colorScale" priority="18">
      <colorScale>
        <cfvo type="formula" val="$AH$4"/>
        <cfvo type="formula" val="$AH$5"/>
        <cfvo type="formula" val="$AH$3"/>
        <color rgb="FFF8696B"/>
        <color rgb="FFFFEB84"/>
        <color rgb="FF63BE7B"/>
      </colorScale>
    </cfRule>
  </conditionalFormatting>
  <dataValidations count="3">
    <dataValidation type="list" allowBlank="1" showInputMessage="1" showErrorMessage="1" sqref="E3:E28" xr:uid="{00000000-0002-0000-0000-000000000000}">
      <formula1>$AI$3:$AI$5</formula1>
    </dataValidation>
    <dataValidation type="list" allowBlank="1" showInputMessage="1" showErrorMessage="1" sqref="C3:C28" xr:uid="{00000000-0002-0000-0000-000001000000}">
      <formula1>$AH$3:$AH$7</formula1>
    </dataValidation>
    <dataValidation type="list" allowBlank="1" showInputMessage="1" showErrorMessage="1" sqref="D3:D28" xr:uid="{00000000-0002-0000-0000-000002000000}">
      <formula1>$AJ$3:$AJ$5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workbookViewId="0" xr3:uid="{958C4451-9541-5A59-BF78-D2F731DF1C81}">
      <selection activeCell="B6" sqref="B6"/>
    </sheetView>
  </sheetViews>
  <sheetFormatPr defaultRowHeight="15"/>
  <cols>
    <col min="1" max="1" width="27" bestFit="1" customWidth="1"/>
    <col min="2" max="2" width="11" customWidth="1"/>
    <col min="3" max="3" width="14.42578125" customWidth="1"/>
  </cols>
  <sheetData>
    <row r="1" spans="1:6">
      <c r="A1" s="3" t="s">
        <v>18</v>
      </c>
      <c r="B1" s="3" t="s">
        <v>19</v>
      </c>
    </row>
    <row r="2" spans="1:6">
      <c r="A2" t="s">
        <v>10</v>
      </c>
      <c r="B2" s="4">
        <f>COUNTIF(Risco!C:C,"Aberto")</f>
        <v>0</v>
      </c>
    </row>
    <row r="3" spans="1:6">
      <c r="A3" t="s">
        <v>12</v>
      </c>
      <c r="B3" s="4">
        <f>COUNTIF(Risco!C:C,"Fechado")</f>
        <v>0</v>
      </c>
    </row>
    <row r="4" spans="1:6">
      <c r="A4" t="s">
        <v>14</v>
      </c>
      <c r="B4" s="4">
        <f>COUNTIF(Risco!C:C,"Em espera")</f>
        <v>0</v>
      </c>
    </row>
    <row r="5" spans="1:6">
      <c r="A5" t="s">
        <v>16</v>
      </c>
      <c r="B5" s="4">
        <f>COUNTIF(Risco!C:C,"Em espera")</f>
        <v>0</v>
      </c>
    </row>
    <row r="6" spans="1:6">
      <c r="A6" t="s">
        <v>17</v>
      </c>
      <c r="B6" s="4">
        <f>COUNTIF(Risco!C:C,"Em espera")</f>
        <v>0</v>
      </c>
    </row>
    <row r="8" spans="1:6">
      <c r="A8" s="3" t="s">
        <v>20</v>
      </c>
      <c r="B8" s="3" t="s">
        <v>19</v>
      </c>
    </row>
    <row r="9" spans="1:6">
      <c r="A9" t="s">
        <v>11</v>
      </c>
      <c r="B9">
        <f>COUNTIF(Risco!D:D,"Baixa")</f>
        <v>0</v>
      </c>
    </row>
    <row r="10" spans="1:6">
      <c r="A10" t="s">
        <v>13</v>
      </c>
      <c r="B10">
        <f>COUNTIF(Risco!D:D,"Média")</f>
        <v>0</v>
      </c>
    </row>
    <row r="11" spans="1:6">
      <c r="A11" t="s">
        <v>15</v>
      </c>
      <c r="B11">
        <f>COUNTIF(Risco!D:D,"Alta")</f>
        <v>0</v>
      </c>
      <c r="F11" s="1"/>
    </row>
    <row r="13" spans="1:6">
      <c r="A13" s="3" t="s">
        <v>21</v>
      </c>
      <c r="B13" s="3" t="s">
        <v>19</v>
      </c>
    </row>
    <row r="14" spans="1:6">
      <c r="A14" t="s">
        <v>11</v>
      </c>
      <c r="B14">
        <f>COUNTIF(Risco!D:D,"Baixa")</f>
        <v>0</v>
      </c>
    </row>
    <row r="15" spans="1:6">
      <c r="A15" t="s">
        <v>13</v>
      </c>
      <c r="B15">
        <f>COUNTIF(Risco!D:D,"Média")</f>
        <v>0</v>
      </c>
    </row>
    <row r="16" spans="1:6">
      <c r="A16" t="s">
        <v>15</v>
      </c>
      <c r="B16">
        <f>COUNTIF(Risco!D:D,"Alta")</f>
        <v>0</v>
      </c>
      <c r="F16" s="1"/>
    </row>
  </sheetData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90" zoomScaleNormal="90" workbookViewId="0" xr3:uid="{842E5F09-E766-5B8D-85AF-A39847EA96FD}">
      <selection activeCell="J23" sqref="J23"/>
    </sheetView>
  </sheetViews>
  <sheetFormatPr defaultRowHeight="15"/>
  <cols>
    <col min="1" max="16384" width="9.140625" style="5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Site Campus</dc:creator>
  <cp:keywords/>
  <dc:description/>
  <cp:lastModifiedBy>Site Campus</cp:lastModifiedBy>
  <cp:revision/>
  <dcterms:created xsi:type="dcterms:W3CDTF">2010-07-07T13:04:08Z</dcterms:created>
  <dcterms:modified xsi:type="dcterms:W3CDTF">2017-03-15T19:07:28Z</dcterms:modified>
  <cp:category/>
  <cp:contentStatus/>
</cp:coreProperties>
</file>